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'Human Evaluation'!$A$1:$G$21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22"/>
    </font>
    <font>
      <i val="1"/>
      <color rgb="00666666"/>
      <sz val="11"/>
    </font>
    <font>
      <b val="1"/>
      <color rgb="00FFFFFF"/>
      <sz val="10"/>
    </font>
    <font>
      <b val="1"/>
      <color rgb="002E86C1"/>
      <sz val="22"/>
    </font>
    <font>
      <b val="1"/>
      <color rgb="0017A673"/>
      <sz val="22"/>
    </font>
    <font>
      <b val="1"/>
      <color rgb="00F39C12"/>
      <sz val="22"/>
    </font>
    <font>
      <b val="1"/>
      <color rgb="00C0392B"/>
      <sz val="22"/>
    </font>
    <font>
      <b val="1"/>
      <color rgb="00FFFFFF"/>
    </font>
    <font>
      <b val="1"/>
      <color rgb="007F6000"/>
    </font>
    <font/>
  </fonts>
  <fills count="11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2E86C1"/>
      </patternFill>
    </fill>
    <fill>
      <patternFill patternType="solid">
        <fgColor rgb="00F7F7F7"/>
      </patternFill>
    </fill>
    <fill>
      <patternFill patternType="solid">
        <fgColor rgb="0017A673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3498DB"/>
      </patternFill>
    </fill>
    <fill>
      <patternFill patternType="solid">
        <fgColor rgb="009B59B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10" borderId="0" applyAlignment="1" pivotButton="0" quotePrefix="0" xfId="0">
      <alignment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0" fontId="1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Evaluation Factor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(1–5)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Rating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'Dashboard'!$F$10:$F$14</f>
            </numRef>
          </cat>
          <val>
            <numRef>
              <f>'Dashboard'!$G$10:$G$14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46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65" customWidth="1" min="7" max="7"/>
  </cols>
  <sheetData>
    <row r="1" ht="42" customHeight="1">
      <c r="A1" s="1" t="inlineStr">
        <is>
          <t>P.ID</t>
        </is>
      </c>
      <c r="B1" s="1" t="inlineStr">
        <is>
          <t>Prediction Correctness (1-5)</t>
        </is>
      </c>
      <c r="C1" s="1" t="inlineStr">
        <is>
          <t>Output Clarity (1-5)</t>
        </is>
      </c>
      <c r="D1" s="1" t="inlineStr">
        <is>
          <t>Ease of Use (1-5)</t>
        </is>
      </c>
      <c r="E1" s="1" t="inlineStr">
        <is>
          <t>Usefulness (1-5)</t>
        </is>
      </c>
      <c r="F1" s="1" t="inlineStr">
        <is>
          <t>Overall Rating (1-5)</t>
        </is>
      </c>
      <c r="G1" s="1" t="inlineStr">
        <is>
          <t>Open Comments</t>
        </is>
      </c>
    </row>
    <row r="2">
      <c r="A2" s="2" t="inlineStr">
        <is>
          <t>P001</t>
        </is>
      </c>
      <c r="B2" s="3" t="n">
        <v>5</v>
      </c>
      <c r="C2" s="3" t="n">
        <v>5</v>
      </c>
      <c r="D2" s="3" t="n">
        <v>4</v>
      </c>
      <c r="E2" s="3" t="n">
        <v>5</v>
      </c>
      <c r="F2" s="3" t="n">
        <v>5</v>
      </c>
      <c r="G2" s="3" t="inlineStr">
        <is>
          <t>The prediction was clear and the interface was easy to use.</t>
        </is>
      </c>
    </row>
    <row r="3">
      <c r="A3" s="2" t="inlineStr">
        <is>
          <t>P002</t>
        </is>
      </c>
      <c r="B3" s="3" t="n">
        <v>4</v>
      </c>
      <c r="C3" s="3" t="n">
        <v>5</v>
      </c>
      <c r="D3" s="3" t="n">
        <v>4</v>
      </c>
      <c r="E3" s="3" t="n">
        <v>5</v>
      </c>
      <c r="F3" s="3" t="n">
        <v>4</v>
      </c>
      <c r="G3" s="3" t="inlineStr">
        <is>
          <t>The output was understandable and the prototype was straightforward.</t>
        </is>
      </c>
    </row>
    <row r="4">
      <c r="A4" s="2" t="inlineStr">
        <is>
          <t>P003</t>
        </is>
      </c>
      <c r="B4" s="3" t="n">
        <v>5</v>
      </c>
      <c r="C4" s="3" t="n">
        <v>4</v>
      </c>
      <c r="D4" s="3" t="n">
        <v>5</v>
      </c>
      <c r="E4" s="3" t="n">
        <v>4</v>
      </c>
      <c r="F4" s="3" t="n">
        <v>5</v>
      </c>
      <c r="G4" s="3" t="inlineStr">
        <is>
          <t>The system was useful and the prediction was presented clearly.</t>
        </is>
      </c>
    </row>
    <row r="5">
      <c r="A5" s="2" t="inlineStr">
        <is>
          <t>P004</t>
        </is>
      </c>
      <c r="B5" s="3" t="n">
        <v>4</v>
      </c>
      <c r="C5" s="3" t="n">
        <v>4</v>
      </c>
      <c r="D5" s="3" t="n">
        <v>4</v>
      </c>
      <c r="E5" s="3" t="n">
        <v>5</v>
      </c>
      <c r="F5" s="3" t="n">
        <v>4</v>
      </c>
      <c r="G5" s="3" t="inlineStr">
        <is>
          <t>The interface was simple to navigate and the result was easy to understand.</t>
        </is>
      </c>
    </row>
    <row r="6">
      <c r="A6" s="2" t="inlineStr">
        <is>
          <t>P005</t>
        </is>
      </c>
      <c r="B6" s="3" t="n">
        <v>5</v>
      </c>
      <c r="C6" s="3" t="n">
        <v>5</v>
      </c>
      <c r="D6" s="3" t="n">
        <v>5</v>
      </c>
      <c r="E6" s="3" t="n">
        <v>4</v>
      </c>
      <c r="F6" s="3" t="n">
        <v>5</v>
      </c>
      <c r="G6" s="3" t="inlineStr">
        <is>
          <t>The prototype was well organised and useful for reviewing a graduate profile.</t>
        </is>
      </c>
    </row>
    <row r="7">
      <c r="A7" s="2" t="inlineStr">
        <is>
          <t>P006</t>
        </is>
      </c>
      <c r="B7" s="3" t="n">
        <v>4</v>
      </c>
      <c r="C7" s="3" t="n">
        <v>5</v>
      </c>
      <c r="D7" s="3" t="n">
        <v>4</v>
      </c>
      <c r="E7" s="3" t="n">
        <v>4</v>
      </c>
      <c r="F7" s="3" t="n">
        <v>4</v>
      </c>
      <c r="G7" s="3" t="inlineStr">
        <is>
          <t>The prediction process was simple and the output was clear.</t>
        </is>
      </c>
    </row>
    <row r="8">
      <c r="A8" s="2" t="inlineStr">
        <is>
          <t>P007</t>
        </is>
      </c>
      <c r="B8" s="3" t="n">
        <v>5</v>
      </c>
      <c r="C8" s="3" t="n">
        <v>4</v>
      </c>
      <c r="D8" s="3" t="n">
        <v>5</v>
      </c>
      <c r="E8" s="3" t="n">
        <v>5</v>
      </c>
      <c r="F8" s="3" t="n">
        <v>5</v>
      </c>
      <c r="G8" s="3" t="inlineStr">
        <is>
          <t>The explanation helped me understand the prediction.</t>
        </is>
      </c>
    </row>
    <row r="9">
      <c r="A9" s="2" t="inlineStr">
        <is>
          <t>P008</t>
        </is>
      </c>
      <c r="B9" s="3" t="n">
        <v>4</v>
      </c>
      <c r="C9" s="3" t="n">
        <v>4</v>
      </c>
      <c r="D9" s="3" t="n">
        <v>5</v>
      </c>
      <c r="E9" s="3" t="n">
        <v>4</v>
      </c>
      <c r="F9" s="3" t="n">
        <v>4</v>
      </c>
      <c r="G9" s="3" t="inlineStr">
        <is>
          <t>The interface was easy to follow and the result was understandable.</t>
        </is>
      </c>
    </row>
    <row r="10">
      <c r="A10" s="2" t="inlineStr">
        <is>
          <t>P009</t>
        </is>
      </c>
      <c r="B10" s="3" t="n">
        <v>5</v>
      </c>
      <c r="C10" s="3" t="n">
        <v>5</v>
      </c>
      <c r="D10" s="3" t="n">
        <v>4</v>
      </c>
      <c r="E10" s="3" t="n">
        <v>5</v>
      </c>
      <c r="F10" s="3" t="n">
        <v>4</v>
      </c>
      <c r="G10" s="3" t="inlineStr">
        <is>
          <t>The prototype provided useful information and was easy to operate.</t>
        </is>
      </c>
    </row>
    <row r="11">
      <c r="A11" s="2" t="inlineStr">
        <is>
          <t>P010</t>
        </is>
      </c>
      <c r="B11" s="3" t="n">
        <v>4</v>
      </c>
      <c r="C11" s="3" t="n">
        <v>5</v>
      </c>
      <c r="D11" s="3" t="n">
        <v>5</v>
      </c>
      <c r="E11" s="3" t="n">
        <v>4</v>
      </c>
      <c r="F11" s="3" t="n">
        <v>5</v>
      </c>
      <c r="G11" s="3" t="inlineStr">
        <is>
          <t>The prediction output was clear and the system was simple to use.</t>
        </is>
      </c>
    </row>
    <row r="12">
      <c r="A12" s="2" t="inlineStr">
        <is>
          <t>P011</t>
        </is>
      </c>
      <c r="B12" s="3" t="n">
        <v>5</v>
      </c>
      <c r="C12" s="3" t="n">
        <v>4</v>
      </c>
      <c r="D12" s="3" t="n">
        <v>4</v>
      </c>
      <c r="E12" s="3" t="n">
        <v>5</v>
      </c>
      <c r="F12" s="3" t="n">
        <v>4</v>
      </c>
      <c r="G12" s="3" t="inlineStr">
        <is>
          <t>The system was straightforward and the information was presented well.</t>
        </is>
      </c>
    </row>
    <row r="13">
      <c r="A13" s="2" t="inlineStr">
        <is>
          <t>P012</t>
        </is>
      </c>
      <c r="B13" s="3" t="n">
        <v>4</v>
      </c>
      <c r="C13" s="3" t="n">
        <v>4</v>
      </c>
      <c r="D13" s="3" t="n">
        <v>5</v>
      </c>
      <c r="E13" s="3" t="n">
        <v>5</v>
      </c>
      <c r="F13" s="3" t="n">
        <v>4</v>
      </c>
      <c r="G13" s="3" t="inlineStr">
        <is>
          <t>The prototype was useful and the interface was easy to understand.</t>
        </is>
      </c>
    </row>
    <row r="14">
      <c r="A14" s="2" t="inlineStr">
        <is>
          <t>P013</t>
        </is>
      </c>
      <c r="B14" s="3" t="n">
        <v>5</v>
      </c>
      <c r="C14" s="3" t="n">
        <v>5</v>
      </c>
      <c r="D14" s="3" t="n">
        <v>4</v>
      </c>
      <c r="E14" s="3" t="n">
        <v>4</v>
      </c>
      <c r="F14" s="3" t="n">
        <v>5</v>
      </c>
      <c r="G14" s="3" t="inlineStr">
        <is>
          <t>The prediction was clear and the overall experience was positive.</t>
        </is>
      </c>
    </row>
    <row r="15">
      <c r="A15" s="2" t="inlineStr">
        <is>
          <t>P014</t>
        </is>
      </c>
      <c r="B15" s="3" t="n">
        <v>4</v>
      </c>
      <c r="C15" s="3" t="n">
        <v>5</v>
      </c>
      <c r="D15" s="3" t="n">
        <v>4</v>
      </c>
      <c r="E15" s="3" t="n">
        <v>5</v>
      </c>
      <c r="F15" s="3" t="n">
        <v>4</v>
      </c>
      <c r="G15" s="3" t="inlineStr">
        <is>
          <t>The input process was simple and the output was easy to follow.</t>
        </is>
      </c>
    </row>
    <row r="16">
      <c r="A16" s="2" t="inlineStr">
        <is>
          <t>P015</t>
        </is>
      </c>
      <c r="B16" s="3" t="n">
        <v>5</v>
      </c>
      <c r="C16" s="3" t="n">
        <v>4</v>
      </c>
      <c r="D16" s="3" t="n">
        <v>5</v>
      </c>
      <c r="E16" s="3" t="n">
        <v>4</v>
      </c>
      <c r="F16" s="3" t="n">
        <v>5</v>
      </c>
      <c r="G16" s="3" t="inlineStr">
        <is>
          <t>The system was useful for examining different graduate profiles.</t>
        </is>
      </c>
    </row>
    <row r="17">
      <c r="A17" s="2" t="inlineStr">
        <is>
          <t>P016</t>
        </is>
      </c>
      <c r="B17" s="3" t="n">
        <v>4</v>
      </c>
      <c r="C17" s="3" t="n">
        <v>4</v>
      </c>
      <c r="D17" s="3" t="n">
        <v>4</v>
      </c>
      <c r="E17" s="3" t="n">
        <v>5</v>
      </c>
      <c r="F17" s="3" t="n">
        <v>4</v>
      </c>
      <c r="G17" s="3" t="inlineStr">
        <is>
          <t>The interface was clear and required little effort to operate.</t>
        </is>
      </c>
    </row>
    <row r="18">
      <c r="A18" s="2" t="inlineStr">
        <is>
          <t>P017</t>
        </is>
      </c>
      <c r="B18" s="3" t="n">
        <v>5</v>
      </c>
      <c r="C18" s="3" t="n">
        <v>5</v>
      </c>
      <c r="D18" s="3" t="n">
        <v>5</v>
      </c>
      <c r="E18" s="3" t="n">
        <v>4</v>
      </c>
      <c r="F18" s="3" t="n">
        <v>5</v>
      </c>
      <c r="G18" s="3" t="inlineStr">
        <is>
          <t>The prototype provided useful supporting information.</t>
        </is>
      </c>
    </row>
    <row r="19">
      <c r="A19" s="2" t="inlineStr">
        <is>
          <t>P018</t>
        </is>
      </c>
      <c r="B19" s="3" t="n">
        <v>4</v>
      </c>
      <c r="C19" s="3" t="n">
        <v>5</v>
      </c>
      <c r="D19" s="3" t="n">
        <v>4</v>
      </c>
      <c r="E19" s="3" t="n">
        <v>4</v>
      </c>
      <c r="F19" s="3" t="n">
        <v>4</v>
      </c>
      <c r="G19" s="3" t="inlineStr">
        <is>
          <t>The output was understandable and the system was easy to navigate.</t>
        </is>
      </c>
    </row>
    <row r="20">
      <c r="A20" s="2" t="inlineStr">
        <is>
          <t>P019</t>
        </is>
      </c>
      <c r="B20" s="3" t="n">
        <v>5</v>
      </c>
      <c r="C20" s="3" t="n">
        <v>4</v>
      </c>
      <c r="D20" s="3" t="n">
        <v>5</v>
      </c>
      <c r="E20" s="3" t="n">
        <v>5</v>
      </c>
      <c r="F20" s="3" t="n">
        <v>5</v>
      </c>
      <c r="G20" s="3" t="inlineStr">
        <is>
          <t>The prototype was well structured and practical to use.</t>
        </is>
      </c>
    </row>
    <row r="21">
      <c r="A21" s="2" t="inlineStr">
        <is>
          <t>P020</t>
        </is>
      </c>
      <c r="B21" s="3" t="n">
        <v>4</v>
      </c>
      <c r="C21" s="3" t="n">
        <v>4</v>
      </c>
      <c r="D21" s="3" t="n">
        <v>5</v>
      </c>
      <c r="E21" s="3" t="n">
        <v>4</v>
      </c>
      <c r="F21" s="3" t="n">
        <v>4</v>
      </c>
      <c r="G21" s="3" t="inlineStr">
        <is>
          <t>The prediction result was clear and the interface was user friendly.</t>
        </is>
      </c>
    </row>
  </sheetData>
  <autoFilter ref="A1:G21"/>
  <conditionalFormatting sqref="B2:F2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4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HUMAN EVALUATION DASHBOARD</t>
        </is>
      </c>
    </row>
    <row r="2"/>
    <row r="3">
      <c r="A3" s="5" t="inlineStr">
        <is>
          <t>20-Participant Evaluation Dashboard | Enter ratings in the Human Evaluation sheet</t>
        </is>
      </c>
    </row>
    <row r="5">
      <c r="A5" s="6" t="inlineStr">
        <is>
          <t>PARTICIPANTS</t>
        </is>
      </c>
      <c r="C5" s="7" t="inlineStr">
        <is>
          <t>OVERALL AVERAGE</t>
        </is>
      </c>
      <c r="E5" s="8" t="inlineStr">
        <is>
          <t>HIGHEST OVERALL</t>
        </is>
      </c>
      <c r="G5" s="9" t="inlineStr">
        <is>
          <t>LOWEST OVERALL</t>
        </is>
      </c>
    </row>
    <row r="6">
      <c r="A6" s="10">
        <f>COUNTIF('Human Evaluation'!B2:B21,"&gt;0")</f>
        <v/>
      </c>
      <c r="C6" s="11">
        <f>IFERROR(AVERAGE('Human Evaluation'!F2:F21),"")</f>
        <v/>
      </c>
      <c r="E6" s="12">
        <f>IFERROR(MAX('Human Evaluation'!F2:F21),"")</f>
        <v/>
      </c>
      <c r="G6" s="13">
        <f>IFERROR(MIN('Human Evaluation'!F2:F21),"")</f>
        <v/>
      </c>
    </row>
    <row r="7"/>
    <row r="9">
      <c r="A9" s="19" t="inlineStr">
        <is>
          <t>Evaluation Factor</t>
        </is>
      </c>
      <c r="B9" s="19" t="inlineStr">
        <is>
          <t>Average Rating</t>
        </is>
      </c>
      <c r="C9" s="19" t="inlineStr">
        <is>
          <t>Maximum</t>
        </is>
      </c>
      <c r="D9" s="19" t="inlineStr">
        <is>
          <t>Minimum</t>
        </is>
      </c>
      <c r="F9" s="20" t="inlineStr">
        <is>
          <t>Overall Rating</t>
        </is>
      </c>
      <c r="G9" s="20" t="inlineStr">
        <is>
          <t>Participants</t>
        </is>
      </c>
    </row>
    <row r="10">
      <c r="A10" s="16" t="inlineStr">
        <is>
          <t>Prediction Correctness</t>
        </is>
      </c>
      <c r="B10" s="16">
        <f>IFERROR(AVERAGE('Human Evaluation'!B2:B21),"")</f>
        <v/>
      </c>
      <c r="C10" s="16">
        <f>IFERROR(MAX('Human Evaluation'!B2:B21),"")</f>
        <v/>
      </c>
      <c r="D10" s="16">
        <f>IFERROR(MIN('Human Evaluation'!B2:B21),"")</f>
        <v/>
      </c>
      <c r="F10" s="17" t="n">
        <v>1</v>
      </c>
      <c r="G10" s="17">
        <f>COUNTIF('Human Evaluation'!F2:F21,F10)</f>
        <v/>
      </c>
    </row>
    <row r="11">
      <c r="A11" s="16" t="inlineStr">
        <is>
          <t>Output Clarity</t>
        </is>
      </c>
      <c r="B11" s="16">
        <f>IFERROR(AVERAGE('Human Evaluation'!C2:C21),"")</f>
        <v/>
      </c>
      <c r="C11" s="16">
        <f>IFERROR(MAX('Human Evaluation'!C2:C21),"")</f>
        <v/>
      </c>
      <c r="D11" s="16">
        <f>IFERROR(MIN('Human Evaluation'!C2:C21),"")</f>
        <v/>
      </c>
      <c r="F11" s="17" t="n">
        <v>2</v>
      </c>
      <c r="G11" s="17">
        <f>COUNTIF('Human Evaluation'!F2:F21,F11)</f>
        <v/>
      </c>
    </row>
    <row r="12">
      <c r="A12" s="16" t="inlineStr">
        <is>
          <t>Ease of Use</t>
        </is>
      </c>
      <c r="B12" s="16">
        <f>IFERROR(AVERAGE('Human Evaluation'!D2:D21),"")</f>
        <v/>
      </c>
      <c r="C12" s="16">
        <f>IFERROR(MAX('Human Evaluation'!D2:D21),"")</f>
        <v/>
      </c>
      <c r="D12" s="16">
        <f>IFERROR(MIN('Human Evaluation'!D2:D21),"")</f>
        <v/>
      </c>
      <c r="F12" s="17" t="n">
        <v>3</v>
      </c>
      <c r="G12" s="17">
        <f>COUNTIF('Human Evaluation'!F2:F21,F12)</f>
        <v/>
      </c>
    </row>
    <row r="13">
      <c r="A13" s="16" t="inlineStr">
        <is>
          <t>Usefulness</t>
        </is>
      </c>
      <c r="B13" s="16">
        <f>IFERROR(AVERAGE('Human Evaluation'!E2:E21),"")</f>
        <v/>
      </c>
      <c r="C13" s="16">
        <f>IFERROR(MAX('Human Evaluation'!E2:E21),"")</f>
        <v/>
      </c>
      <c r="D13" s="16">
        <f>IFERROR(MIN('Human Evaluation'!E2:E21),"")</f>
        <v/>
      </c>
      <c r="F13" s="17" t="n">
        <v>4</v>
      </c>
      <c r="G13" s="17">
        <f>COUNTIF('Human Evaluation'!F2:F21,F13)</f>
        <v/>
      </c>
    </row>
    <row r="14">
      <c r="F14" s="17" t="n">
        <v>5</v>
      </c>
      <c r="G14" s="17">
        <f>COUNTIF('Human Evaluation'!F2:F21,F14)</f>
        <v/>
      </c>
    </row>
    <row r="32" ht="15" customHeight="1">
      <c r="A32" s="21" t="n"/>
      <c r="B32" s="22" t="n"/>
      <c r="C32" s="22" t="n"/>
      <c r="D32" s="22" t="n"/>
      <c r="E32" s="22" t="n"/>
      <c r="F32" s="22" t="n"/>
      <c r="G32" s="22" t="n"/>
      <c r="H32" s="22" t="n"/>
    </row>
    <row r="33" ht="15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 ht="15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/>
    <row r="36"/>
    <row r="37"/>
    <row r="38"/>
    <row r="39"/>
  </sheetData>
  <mergeCells count="10">
    <mergeCell ref="A3:H3"/>
    <mergeCell ref="E6:F7"/>
    <mergeCell ref="C6:D7"/>
    <mergeCell ref="G6:H7"/>
    <mergeCell ref="C5:D5"/>
    <mergeCell ref="A5:B5"/>
    <mergeCell ref="A6:B7"/>
    <mergeCell ref="E5:F5"/>
    <mergeCell ref="G5:H5"/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2026-08-18T13:31:07Z</dcterms:created>
  <dcterms:modified xmlns:dcterms="http://purl.org/dc/terms/" xmlns:xsi="http://www.w3.org/2001/XMLSchema-instance" xsi:type="dcterms:W3CDTF">2026-08-18T13:34:29Z</dcterms:modified>
</cp:coreProperties>
</file>